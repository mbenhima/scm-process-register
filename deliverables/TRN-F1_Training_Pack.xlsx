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genda" sheetId="2" state="visible" r:id="rId4"/>
    <sheet name="Quiz Bank" sheetId="3" state="visible" r:id="rId5"/>
    <sheet name="Workshop Checklist" sheetId="4" state="visible" r:id="rId6"/>
    <sheet name="Exam Blueprint" sheetId="5" state="visible" r:id="rId7"/>
    <sheet name="Cohort Scorec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<sst xmlns="http://schemas.openxmlformats.org/spreadsheetml/2006/main" count="407" uniqueCount="284">
  <si>
    <t xml:space="preserve">TRN-F1 Training Pack</t>
  </si>
  <si>
    <t xml:space="preserve">Change Management Foundations &amp; the journi Platform</t>
  </si>
  <si>
    <t xml:space="preserve">journi Academy — Foundation Level · Prepared for POWERACT Consulting · Confidential</t>
  </si>
  <si>
    <t xml:space="preserve">Training ID</t>
  </si>
  <si>
    <t xml:space="preserve">TRN-F1</t>
  </si>
  <si>
    <t xml:space="preserve">Name</t>
  </si>
  <si>
    <t xml:space="preserve">Level</t>
  </si>
  <si>
    <t xml:space="preserve">Foundation (LVL-F)</t>
  </si>
  <si>
    <t xml:space="preserve">Prerequisite</t>
  </si>
  <si>
    <t xml:space="preserve">None — entry training for the Foundation level</t>
  </si>
  <si>
    <t xml:space="preserve">Duration</t>
  </si>
  <si>
    <t xml:space="preserve">2 days (4 half-days)</t>
  </si>
  <si>
    <t xml:space="preserve">Target audience</t>
  </si>
  <si>
    <t xml:space="preserve">New Change Managers, HR Business Partners, PMO members, People Managers</t>
  </si>
  <si>
    <t xml:space="preserve">Goals</t>
  </si>
  <si>
    <t xml:space="preserve">1) Explain why ~70% of transformations fail on the human side and how ADKAR, Kotter, Lewin and Bridges/Kübler-Ross address it. 2) Navigate tenant hierarchy (Group/Organization/Project) and role-based access. 3) Read the OBS and the Macro Process/SIPOC/RACSI registry. 4) Explain the Assistive/Augmented AI governance model and why Autonomous AI is out of scope.</t>
  </si>
  <si>
    <t xml:space="preserve">Golden rule</t>
  </si>
  <si>
    <t xml:space="preserve">Every half-day pairs one quiz with one workshop: content → quiz → workshop → debrief.</t>
  </si>
  <si>
    <t xml:space="preserve">Training exam</t>
  </si>
  <si>
    <t xml:space="preserve">EXM-F1 — 40 MCQ + 2 short-answer, 75 min, pass mark 75%</t>
  </si>
  <si>
    <t xml:space="preserve">Workbook contents</t>
  </si>
  <si>
    <t xml:space="preserve">Agenda · Quiz Bank · Workshop Checklist · Exam Blueprint · Cohort Scorecard</t>
  </si>
  <si>
    <t xml:space="preserve">Half-Day</t>
  </si>
  <si>
    <t xml:space="preserve">Theme</t>
  </si>
  <si>
    <t xml:space="preserve">Content (min)</t>
  </si>
  <si>
    <t xml:space="preserve">Quiz (min)</t>
  </si>
  <si>
    <t xml:space="preserve">Workshop (min)</t>
  </si>
  <si>
    <t xml:space="preserve">Total (min)</t>
  </si>
  <si>
    <t xml:space="preserve">Day 1 · AM</t>
  </si>
  <si>
    <t xml:space="preserve">Why Change Management, Why journi</t>
  </si>
  <si>
    <t xml:space="preserve">Day 1 · PM</t>
  </si>
  <si>
    <t xml:space="preserve">The Process Backbone &amp; Governed AI</t>
  </si>
  <si>
    <t xml:space="preserve">Day 2 · AM</t>
  </si>
  <si>
    <t xml:space="preserve">Reading the Program Layer</t>
  </si>
  <si>
    <t xml:space="preserve">Day 2 · PM</t>
  </si>
  <si>
    <t xml:space="preserve">Metrics, Dashboards &amp; the Field Notebook</t>
  </si>
  <si>
    <t xml:space="preserve">Total</t>
  </si>
  <si>
    <t xml:space="preserve">Quiz ID</t>
  </si>
  <si>
    <t xml:space="preserve">Item #</t>
  </si>
  <si>
    <t xml:space="preserve">Topic</t>
  </si>
  <si>
    <t xml:space="preserve">Question</t>
  </si>
  <si>
    <t xml:space="preserve">Option A</t>
  </si>
  <si>
    <t xml:space="preserve">Option B</t>
  </si>
  <si>
    <t xml:space="preserve">Option C</t>
  </si>
  <si>
    <t xml:space="preserve">Option D</t>
  </si>
  <si>
    <t xml:space="preserve">Correct</t>
  </si>
  <si>
    <t xml:space="preserve">QZ-F1-1</t>
  </si>
  <si>
    <t xml:space="preserve">Framework definitions + platform navigation</t>
  </si>
  <si>
    <t xml:space="preserve">What percentage of organizational transformations are estimated to fail primarily due to the human side of change, not the technical/project side?</t>
  </si>
  <si>
    <t xml:space="preserve">30%</t>
  </si>
  <si>
    <t xml:space="preserve">50%</t>
  </si>
  <si>
    <t xml:space="preserve">~70%</t>
  </si>
  <si>
    <t xml:space="preserve">90%</t>
  </si>
  <si>
    <t xml:space="preserve">C</t>
  </si>
  <si>
    <t xml:space="preserve">Which of the following is NOT one of the four core change-management frameworks referenced in journi?</t>
  </si>
  <si>
    <t xml:space="preserve">ADKAR</t>
  </si>
  <si>
    <t xml:space="preserve">Kotter's 8-Step Model</t>
  </si>
  <si>
    <t xml:space="preserve">Lewin's Change Model</t>
  </si>
  <si>
    <t xml:space="preserve">SWOT Analysis</t>
  </si>
  <si>
    <t xml:space="preserve">D</t>
  </si>
  <si>
    <t xml:space="preserve">The Bridges Transition Model is most closely associated with which companion framework in journi's Emotional &amp; Transition layer?</t>
  </si>
  <si>
    <t xml:space="preserve">Kübler-Ross Change Curve</t>
  </si>
  <si>
    <t xml:space="preserve">Balanced Scorecard</t>
  </si>
  <si>
    <t xml:space="preserve">RACI Matrix</t>
  </si>
  <si>
    <t xml:space="preserve">PMBOK</t>
  </si>
  <si>
    <t xml:space="preserve">A</t>
  </si>
  <si>
    <t xml:space="preserve">What is the primary purpose of journi's scope switcher in the top bar?</t>
  </si>
  <si>
    <t xml:space="preserve">To change the application's color theme</t>
  </si>
  <si>
    <t xml:space="preserve">To switch between Group / Organization / Project scope</t>
  </si>
  <si>
    <t xml:space="preserve">To switch the logged-in user's role</t>
  </si>
  <si>
    <t xml:space="preserve">To toggle dark mode</t>
  </si>
  <si>
    <t xml:space="preserve">B</t>
  </si>
  <si>
    <t xml:space="preserve">Which languages does journi's multilingual UI natively support?</t>
  </si>
  <si>
    <t xml:space="preserve">English, Spanish, German</t>
  </si>
  <si>
    <t xml:space="preserve">English, French, Arabic</t>
  </si>
  <si>
    <t xml:space="preserve">English only</t>
  </si>
  <si>
    <t xml:space="preserve">French, Arabic, Mandarin</t>
  </si>
  <si>
    <t xml:space="preserve">ADKAR is best described as a framework that measures change readiness at which level?</t>
  </si>
  <si>
    <t xml:space="preserve">Organizational level only</t>
  </si>
  <si>
    <t xml:space="preserve">Individual level</t>
  </si>
  <si>
    <t xml:space="preserve">Vendor level</t>
  </si>
  <si>
    <t xml:space="preserve">Regulatory level</t>
  </si>
  <si>
    <t xml:space="preserve">In journi's Sidebar, modules are primarily organized around which structural principle?</t>
  </si>
  <si>
    <t xml:space="preserve">Alphabetical order of module names</t>
  </si>
  <si>
    <t xml:space="preserve">The change-management lifecycle from process registry through sustainment</t>
  </si>
  <si>
    <t xml:space="preserve">Random order set by the user</t>
  </si>
  <si>
    <t xml:space="preserve">Cost of each module</t>
  </si>
  <si>
    <t xml:space="preserve">Why does journi teach all four frameworks (ADKAR, Kotter, Lewin, Bridges/Kübler-Ross) together instead of picking one?</t>
  </si>
  <si>
    <t xml:space="preserve">Regulatory compliance requires all four</t>
  </si>
  <si>
    <t xml:space="preserve">Each framework illuminates a different dimension of change and together they give a fuller picture</t>
  </si>
  <si>
    <t xml:space="preserve">journi only supports one framework technically</t>
  </si>
  <si>
    <t xml:space="preserve">They are identical frameworks with different names</t>
  </si>
  <si>
    <t xml:space="preserve">QZ-F1-2</t>
  </si>
  <si>
    <t xml:space="preserve">RACSI role codes + AI tier definitions</t>
  </si>
  <si>
    <t xml:space="preserve">In a RACSI grid, what does the "C" stand for?</t>
  </si>
  <si>
    <t xml:space="preserve">Contributor</t>
  </si>
  <si>
    <t xml:space="preserve">Consulted</t>
  </si>
  <si>
    <t xml:space="preserve">Controller</t>
  </si>
  <si>
    <t xml:space="preserve">Compliance</t>
  </si>
  <si>
    <t xml:space="preserve">How many Macro Processes make up journi's seeded Macro Process Catalog?</t>
  </si>
  <si>
    <t xml:space="preserve">5</t>
  </si>
  <si>
    <t xml:space="preserve">8</t>
  </si>
  <si>
    <t xml:space="preserve">10</t>
  </si>
  <si>
    <t xml:space="preserve">15</t>
  </si>
  <si>
    <t xml:space="preserve">What is the difference between the OBS roster and the RBAC user list?</t>
  </si>
  <si>
    <t xml:space="preserve">They are the same thing</t>
  </si>
  <si>
    <t xml:space="preserve">OBS models resourcing/reporting structure for the process backbone, while RBAC users control platform login and permissions</t>
  </si>
  <si>
    <t xml:space="preserve">OBS is only for Super Admins</t>
  </si>
  <si>
    <t xml:space="preserve">RBAC users only exist at Group level</t>
  </si>
  <si>
    <t xml:space="preserve">An "Assistive" tier AI use case is best described as one where the AI:</t>
  </si>
  <si>
    <t xml:space="preserve">Acts fully autonomously with no human review</t>
  </si>
  <si>
    <t xml:space="preserve">Only suggests content that a human must review and explicitly accept, edit, or reject</t>
  </si>
  <si>
    <t xml:space="preserve">Makes the final decision but logs it for audit</t>
  </si>
  <si>
    <t xml:space="preserve">Is disabled by default and cannot be activated</t>
  </si>
  <si>
    <t xml:space="preserve">Which AI governance tier is explicitly out of scope in journi?</t>
  </si>
  <si>
    <t xml:space="preserve">Assistive</t>
  </si>
  <si>
    <t xml:space="preserve">Augmented</t>
  </si>
  <si>
    <t xml:space="preserve">Autonomous</t>
  </si>
  <si>
    <t xml:space="preserve">Manual</t>
  </si>
  <si>
    <t xml:space="preserve">An End-to-End (E2E) process chain in journi's Process Registry is composed of:</t>
  </si>
  <si>
    <t xml:space="preserve">A single Macro Process</t>
  </si>
  <si>
    <t xml:space="preserve">An ordered sequence of Macro Processes</t>
  </si>
  <si>
    <t xml:space="preserve">A single SIPOC diagram only</t>
  </si>
  <si>
    <t xml:space="preserve">A list of RACSI roles</t>
  </si>
  <si>
    <t xml:space="preserve">What does a SIPOC diagram capture for a given process?</t>
  </si>
  <si>
    <t xml:space="preserve">Suppliers, Inputs, Process, Outputs, Customers</t>
  </si>
  <si>
    <t xml:space="preserve">Sponsors, Impact, Process, Owners, Cost</t>
  </si>
  <si>
    <t xml:space="preserve">Stakeholders, Influence, Priority, Outcome, Change</t>
  </si>
  <si>
    <t xml:space="preserve">Scope, Initiative, Plan, Objective, Charter</t>
  </si>
  <si>
    <t xml:space="preserve">What distinguishes "Augmented" tier AI use cases from "Assistive" ones in journi's governance model?</t>
  </si>
  <si>
    <t xml:space="preserve">Augmented use cases require no human checkpoint at all</t>
  </si>
  <si>
    <t xml:space="preserve">Augmented use cases carry a higher degree of AI-driven action within a still-governed human checkpoint</t>
  </si>
  <si>
    <t xml:space="preserve">Augmented is a synonym for Assistive</t>
  </si>
  <si>
    <t xml:space="preserve">Augmented use cases are only available to Super Admins</t>
  </si>
  <si>
    <t xml:space="preserve">QZ-F1-3</t>
  </si>
  <si>
    <t xml:space="preserve">Program layer terms</t>
  </si>
  <si>
    <t xml:space="preserve">What does the Initiative Registry record for each Change Management program?</t>
  </si>
  <si>
    <t xml:space="preserve">Only the program's budget</t>
  </si>
  <si>
    <t xml:space="preserve">Metadata such as Lewin macro-state, the justified-change pattern, and the Composite Readiness Index</t>
  </si>
  <si>
    <t xml:space="preserve">Only the sponsor's name</t>
  </si>
  <si>
    <t xml:space="preserve">The AI Usage Log</t>
  </si>
  <si>
    <t xml:space="preserve">At the Foundation level, what is a learner expected to do with a CM Charter?</t>
  </si>
  <si>
    <t xml:space="preserve">Author a new charter from scratch</t>
  </si>
  <si>
    <t xml:space="preserve">Read an existing charter, not yet edit it</t>
  </si>
  <si>
    <t xml:space="preserve">Delete a charter</t>
  </si>
  <si>
    <t xml:space="preserve">Merge two charters</t>
  </si>
  <si>
    <t xml:space="preserve">A WBS (Work Breakdown Structure) in journi typically spans which tracks?</t>
  </si>
  <si>
    <t xml:space="preserve">Finance, Legal, HR</t>
  </si>
  <si>
    <t xml:space="preserve">PM, CM, and Framework tracks</t>
  </si>
  <si>
    <t xml:space="preserve">Sales and Marketing only</t>
  </si>
  <si>
    <t xml:space="preserve">A single undivided track</t>
  </si>
  <si>
    <t xml:space="preserve">What is a "schedule gap" as read on a Gantt view?</t>
  </si>
  <si>
    <t xml:space="preserve">A missing task description</t>
  </si>
  <si>
    <t xml:space="preserve">A difference between a task's baseline (planned) date and its actual date</t>
  </si>
  <si>
    <t xml:space="preserve">A gap in the RACSI grid</t>
  </si>
  <si>
    <t xml:space="preserve">An unassigned AI use case</t>
  </si>
  <si>
    <t xml:space="preserve">A Phase Gate in journi is best described as:</t>
  </si>
  <si>
    <t xml:space="preserve">A cosmetic milestone with no decision attached</t>
  </si>
  <si>
    <t xml:space="preserve">A checkpoint where a Joint Decision is recorded to allow (or hold) progression to the next phase</t>
  </si>
  <si>
    <t xml:space="preserve">A synonym for a Macro Process</t>
  </si>
  <si>
    <t xml:space="preserve">An AI-only automated approval step</t>
  </si>
  <si>
    <t xml:space="preserve">What is the "justified-change pattern" referenced in the Initiative Registry?</t>
  </si>
  <si>
    <t xml:space="preserve">An unexplained status field</t>
  </si>
  <si>
    <t xml:space="preserve">A requirement that key state changes be accompanied by a written justification</t>
  </si>
  <si>
    <t xml:space="preserve">A financial approval workflow</t>
  </si>
  <si>
    <t xml:space="preserve">A naming convention for projects</t>
  </si>
  <si>
    <t xml:space="preserve">Who is expected to be named as "Accountable" for a Phase Gate Joint Decision?</t>
  </si>
  <si>
    <t xml:space="preserve">Whoever last edited the record</t>
  </si>
  <si>
    <t xml:space="preserve">A role independent of either input's author</t>
  </si>
  <si>
    <t xml:space="preserve">The AI system</t>
  </si>
  <si>
    <t xml:space="preserve">No one — it is automatic</t>
  </si>
  <si>
    <t xml:space="preserve">At Foundation level, what should a learner be able to summarize about a program from its WBS/Gantt and Phase Gate status?</t>
  </si>
  <si>
    <t xml:space="preserve">Nothing — this is Advanced-level only</t>
  </si>
  <si>
    <t xml:space="preserve">The program's overall health in a few concise bullet points</t>
  </si>
  <si>
    <t xml:space="preserve">The exact source code of the module</t>
  </si>
  <si>
    <t xml:space="preserve">The personal email of the sponsor</t>
  </si>
  <si>
    <t xml:space="preserve">QZ-F1-4</t>
  </si>
  <si>
    <t xml:space="preserve">Dashboard reading + Field Notes scope</t>
  </si>
  <si>
    <t xml:space="preserve">At the Foundation level, how should a learner interact with the Metrics &amp; Analytics Dashboard?</t>
  </si>
  <si>
    <t xml:space="preserve">Freely edit all underlying data</t>
  </si>
  <si>
    <t xml:space="preserve">Read it for reference only, without editing</t>
  </si>
  <si>
    <t xml:space="preserve">Delete stale metrics</t>
  </si>
  <si>
    <t xml:space="preserve">Export it to a third-party AI tool</t>
  </si>
  <si>
    <t xml:space="preserve">What does the ADKAR heatmap on the dashboard visualize?</t>
  </si>
  <si>
    <t xml:space="preserve">Server response times</t>
  </si>
  <si>
    <t xml:space="preserve">Readiness scores across the 5 ADKAR blocks for a cohort or project</t>
  </si>
  <si>
    <t xml:space="preserve">Weather patterns affecting go-live</t>
  </si>
  <si>
    <t xml:space="preserve">AI Usage Log entries only</t>
  </si>
  <si>
    <t xml:space="preserve">The adoption curve on the dashboard is used to track:</t>
  </si>
  <si>
    <t xml:space="preserve">Software licensing costs</t>
  </si>
  <si>
    <t xml:space="preserve">The trend of adoption/usage over time for the change</t>
  </si>
  <si>
    <t xml:space="preserve">The number of open support tickets</t>
  </si>
  <si>
    <t xml:space="preserve">The org chart depth</t>
  </si>
  <si>
    <t xml:space="preserve">Field Notes in journi are best described as:</t>
  </si>
  <si>
    <t xml:space="preserve">A structured system-of-record replacing the Risk Register</t>
  </si>
  <si>
    <t xml:space="preserve">A lightweight practitioner scratchpad for observations that don't yet belong in a structured module</t>
  </si>
  <si>
    <t xml:space="preserve">A mandatory daily report to the Super Admin</t>
  </si>
  <si>
    <t xml:space="preserve">An AI-generated audit log</t>
  </si>
  <si>
    <t xml:space="preserve">Why shouldn't a Field Note be used as a substitute for a structured record (e.g., a Risk Register entry)?</t>
  </si>
  <si>
    <t xml:space="preserve">Field Notes are automatically deleted after 24 hours</t>
  </si>
  <si>
    <t xml:space="preserve">Structured modules provide the scoring, ownership, and workflow that a raw scratchpad entry lacks</t>
  </si>
  <si>
    <t xml:space="preserve">Field Notes cannot contain text</t>
  </si>
  <si>
    <t xml:space="preserve">There is no difference — either works equally well</t>
  </si>
  <si>
    <t xml:space="preserve">Which of the following is an appropriate use of a Field Note?</t>
  </si>
  <si>
    <t xml:space="preserve">Logging a formal mitigation action with an owner and due date</t>
  </si>
  <si>
    <t xml:space="preserve">Capturing a quick observation from a review to revisit or escalate later</t>
  </si>
  <si>
    <t xml:space="preserve">Recording a Phase Gate Joint Decision</t>
  </si>
  <si>
    <t xml:space="preserve">Setting a user's RBAC role</t>
  </si>
  <si>
    <t xml:space="preserve">A project's ADKAR heatmap shows its weakest block. What should a Foundation-level learner be able to do with that information?</t>
  </si>
  <si>
    <t xml:space="preserve">Immediately override the organization's AI governance tier</t>
  </si>
  <si>
    <t xml:space="preserve">Identify it as the area most needing intervention or follow-up</t>
  </si>
  <si>
    <t xml:space="preserve">Ignore it since it is reference-only</t>
  </si>
  <si>
    <t xml:space="preserve">Delete the block from the dashboard</t>
  </si>
  <si>
    <t xml:space="preserve">What is the relationship between Field Notes and the multilingual UI covered earlier in the training?</t>
  </si>
  <si>
    <t xml:space="preserve">Field Notes are only available in English</t>
  </si>
  <si>
    <t xml:space="preserve">Field Notes, like the rest of journi's UI, are usable in EN/FR/AR per the practitioner's configured language</t>
  </si>
  <si>
    <t xml:space="preserve">Field Notes require a separate language license</t>
  </si>
  <si>
    <t xml:space="preserve">There is no relationship</t>
  </si>
  <si>
    <t xml:space="preserve">Sanity Check — items per quiz (should be 8)</t>
  </si>
  <si>
    <t xml:space="preserve">Workshop ID</t>
  </si>
  <si>
    <t xml:space="preserve">Workshop Name</t>
  </si>
  <si>
    <t xml:space="preserve">Step #</t>
  </si>
  <si>
    <t xml:space="preserve">Facilitation Step</t>
  </si>
  <si>
    <t xml:space="preserve">Completed (Y/N)</t>
  </si>
  <si>
    <t xml:space="preserve">WS-F1-1</t>
  </si>
  <si>
    <t xml:space="preserve">Stand Up a Tenant</t>
  </si>
  <si>
    <t xml:space="preserve">Create a Group and an Organization for a new manufacturing client scenario.</t>
  </si>
  <si>
    <t xml:space="preserve">Register a Main Project and a linked Change Management Project.</t>
  </si>
  <si>
    <t xml:space="preserve">Set the Organization's Default Language and explain the precedence rule to a neighbor.</t>
  </si>
  <si>
    <t xml:space="preserve">Review the M2 user list and identify each seeded role's scope.</t>
  </si>
  <si>
    <t xml:space="preserve">WS-F1-2</t>
  </si>
  <si>
    <t xml:space="preserve">Read the Process Backbone</t>
  </si>
  <si>
    <t xml:space="preserve">Build a 4-role OBS roster with a reporting chain for the scenario project.</t>
  </si>
  <si>
    <t xml:space="preserve">Trace one End-to-End process chain through its ordered Macro Processes.</t>
  </si>
  <si>
    <t xml:space="preserve">Review 3 AI Use Case Library entries and classify tier + human checkpoint for each.</t>
  </si>
  <si>
    <t xml:space="preserve">Identify which module each of the 3 use cases plugs into.</t>
  </si>
  <si>
    <t xml:space="preserve">WS-F1-3</t>
  </si>
  <si>
    <t xml:space="preserve">Read a Program's Status</t>
  </si>
  <si>
    <t xml:space="preserve">Open a seeded Initiative Registry entry and its CM Charter; identify the Lewin macro-state and top charter action.</t>
  </si>
  <si>
    <t xml:space="preserve">Open the linked WBS/Gantt view and identify 2 tasks with a schedule gap.</t>
  </si>
  <si>
    <t xml:space="preserve">Identify the current Phase Gate status and who owns the next decision.</t>
  </si>
  <si>
    <t xml:space="preserve">Summarize the program's health in 3 bullet points, as if briefing a manager who has 60 seconds.</t>
  </si>
  <si>
    <t xml:space="preserve">WS-F1-4</t>
  </si>
  <si>
    <t xml:space="preserve">Read a Dashboard, Log a Field Note</t>
  </si>
  <si>
    <t xml:space="preserve">Open the Metrics &amp; Analytics Dashboard for the seeded project and identify the ADKAR heatmap's weakest block.</t>
  </si>
  <si>
    <t xml:space="preserve">Identify the adoption curve's current trend.</t>
  </si>
  <si>
    <t xml:space="preserve">Add a Field Note capturing an observation from the review (not a structured record).</t>
  </si>
  <si>
    <t xml:space="preserve">Explain, in writing, why that observation belongs in Field Notes and not the Risk Register.</t>
  </si>
  <si>
    <t xml:space="preserve">Legend: mark each step Y once the participant/cohort has completed it (pick from the dropdown). Completion % below updates automatically.</t>
  </si>
  <si>
    <t xml:space="preserve">Completion Summary</t>
  </si>
  <si>
    <t xml:space="preserve">Steps</t>
  </si>
  <si>
    <t xml:space="preserve">Completed</t>
  </si>
  <si>
    <t xml:space="preserve">% Complete</t>
  </si>
  <si>
    <t xml:space="preserve">EXM-F1 — Training Exam Blueprint</t>
  </si>
  <si>
    <t xml:space="preserve">Format</t>
  </si>
  <si>
    <t xml:space="preserve">40 MCQ + 2 short-answer</t>
  </si>
  <si>
    <t xml:space="preserve">75 minutes</t>
  </si>
  <si>
    <t xml:space="preserve">Pass mark</t>
  </si>
  <si>
    <t xml:space="preserve">75%</t>
  </si>
  <si>
    <t xml:space="preserve">Retake policy</t>
  </si>
  <si>
    <t xml:space="preserve">One free retake after a 48-hour review period</t>
  </si>
  <si>
    <t xml:space="preserve">Scope</t>
  </si>
  <si>
    <t xml:space="preserve">Drawn from all 4 half-day quizzes: framework definitions, RACSI + AI tiers, program-layer terms, dashboard reading + Field Notes scope</t>
  </si>
  <si>
    <t xml:space="preserve">Short-answer focus</t>
  </si>
  <si>
    <t xml:space="preserve">Participants justify a governance decision in writing (e.g. why a Phase Gate needs an independent Accountable role)</t>
  </si>
  <si>
    <t xml:space="preserve">Gate</t>
  </si>
  <si>
    <t xml:space="preserve">Passing EXM-F1 is one of three training exams required before the Foundation Level Exam (EXM-LVL-F)</t>
  </si>
  <si>
    <t xml:space="preserve">Coverage by Half-Day Topic</t>
  </si>
  <si>
    <t xml:space="preserve">Total MCQ items (EXM-F1)</t>
  </si>
  <si>
    <t xml:space="preserve">Half-day topics</t>
  </si>
  <si>
    <t xml:space="preserve">Half-Day Topic</t>
  </si>
  <si>
    <t xml:space="preserve">Approx. MCQ Share</t>
  </si>
  <si>
    <t xml:space="preserve">Participant</t>
  </si>
  <si>
    <t xml:space="preserve">QZ-F1-1 (/8)</t>
  </si>
  <si>
    <t xml:space="preserve">QZ-F1-2 (/8)</t>
  </si>
  <si>
    <t xml:space="preserve">QZ-F1-3 (/8)</t>
  </si>
  <si>
    <t xml:space="preserve">QZ-F1-4 (/8)</t>
  </si>
  <si>
    <t xml:space="preserve">Quiz Total (/32)</t>
  </si>
  <si>
    <t xml:space="preserve">EXM-F1 MCQ (/40)</t>
  </si>
  <si>
    <t xml:space="preserve">EXM-F1 Short-Answer (/2)</t>
  </si>
  <si>
    <t xml:space="preserve">EXM-F1 %</t>
  </si>
  <si>
    <t xml:space="preserve">Result</t>
  </si>
  <si>
    <t xml:space="preserve">Jane Doe (example)</t>
  </si>
  <si>
    <t xml:space="preserve">Legend: fill in the blue-outlined columns (quiz scores, exam MCQ score, exam short-answer score out of 2) for each participant. Quiz Total, EXM-F1 %, and Result are computed automatically.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</si>
</sst>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&quot; MCQ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5423A"/>
      <name val="Arial"/>
      <family val="0"/>
      <charset val="1"/>
    </font>
    <font>
      <b val="true"/>
      <sz val="13"/>
      <color rgb="FF1F6459"/>
      <name val="Arial"/>
      <family val="0"/>
      <charset val="1"/>
    </font>
    <font>
      <i val="true"/>
      <sz val="10"/>
      <color rgb="FF5C6D68"/>
      <name val="Arial"/>
      <family val="0"/>
      <charset val="1"/>
    </font>
    <font>
      <b val="true"/>
      <sz val="10.5"/>
      <color rgb="FF15423A"/>
      <name val="Arial"/>
      <family val="0"/>
      <charset val="1"/>
    </font>
    <font>
      <sz val="10.5"/>
      <color rgb="FF1622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.5"/>
      <color rgb="FFC2661C"/>
      <name val="Arial"/>
      <family val="0"/>
      <charset val="1"/>
    </font>
    <font>
      <i val="true"/>
      <sz val="9.5"/>
      <color rgb="FF5C6D68"/>
      <name val="Arial"/>
      <family val="0"/>
      <charset val="1"/>
    </font>
    <font>
      <b val="true"/>
      <sz val="16"/>
      <color rgb="FF15423A"/>
      <name val="Arial"/>
      <family val="0"/>
      <charset val="1"/>
    </font>
    <font>
      <b val="true"/>
      <sz val="12"/>
      <color rgb="FF15423A"/>
      <name val="Arial"/>
      <family val="0"/>
      <charset val="1"/>
    </font>
    <font>
      <sz val="10.5"/>
      <color rgb="FF0000FF"/>
      <name val="Arial"/>
      <family val="0"/>
      <charset val="1"/>
    </font>
    <font>
      <i val="true"/>
      <sz val="10.5"/>
      <color rgb="FF5C6D6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2EF"/>
        <bgColor rgb="FFDBE6E3"/>
      </patternFill>
    </fill>
    <fill>
      <patternFill patternType="solid">
        <fgColor rgb="FFFFFFFF"/>
        <bgColor rgb="FFEAF2EF"/>
      </patternFill>
    </fill>
    <fill>
      <patternFill patternType="solid">
        <fgColor rgb="FF15423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BE6E3"/>
      </left>
      <right style="thin">
        <color rgb="FFDBE6E3"/>
      </right>
      <top style="thin">
        <color rgb="FFDBE6E3"/>
      </top>
      <bottom style="thin">
        <color rgb="FFDBE6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459"/>
      <rgbColor rgb="FFC0C0C0"/>
      <rgbColor rgb="FF808080"/>
      <rgbColor rgb="FF9999FF"/>
      <rgbColor rgb="FF993366"/>
      <rgbColor rgb="FFEAF2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E6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661C"/>
      <rgbColor rgb="FF5C6D68"/>
      <rgbColor rgb="FF969696"/>
      <rgbColor rgb="FF003366"/>
      <rgbColor rgb="FF339966"/>
      <rgbColor rgb="FF16221F"/>
      <rgbColor rgb="FF333300"/>
      <rgbColor rgb="FF993300"/>
      <rgbColor rgb="FF993366"/>
      <rgbColor rgb="FF333399"/>
      <rgbColor rgb="FF154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  <c r="B1" s="1"/>
    </row>
    <row r="2" customFormat="false" ht="16.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31.5" hidden="false" customHeight="true" outlineLevel="0" collapsed="false">
      <c r="A5" s="4" t="s">
        <v>3</v>
      </c>
      <c r="B5" s="5" t="s">
        <v>4</v>
      </c>
    </row>
    <row r="6" customFormat="false" ht="31.5" hidden="false" customHeight="true" outlineLevel="0" collapsed="false">
      <c r="A6" s="4" t="s">
        <v>5</v>
      </c>
      <c r="B6" s="5" t="s">
        <v>1</v>
      </c>
    </row>
    <row r="7" customFormat="false" ht="31.5" hidden="false" customHeight="true" outlineLevel="0" collapsed="false">
      <c r="A7" s="4" t="s">
        <v>6</v>
      </c>
      <c r="B7" s="5" t="s">
        <v>7</v>
      </c>
    </row>
    <row r="8" customFormat="false" ht="31.5" hidden="false" customHeight="true" outlineLevel="0" collapsed="false">
      <c r="A8" s="4" t="s">
        <v>8</v>
      </c>
      <c r="B8" s="5" t="s">
        <v>9</v>
      </c>
    </row>
    <row r="9" customFormat="false" ht="31.5" hidden="false" customHeight="true" outlineLevel="0" collapsed="false">
      <c r="A9" s="4" t="s">
        <v>10</v>
      </c>
      <c r="B9" s="5" t="s">
        <v>11</v>
      </c>
    </row>
    <row r="10" customFormat="false" ht="31.5" hidden="false" customHeight="true" outlineLevel="0" collapsed="false">
      <c r="A10" s="4" t="s">
        <v>12</v>
      </c>
      <c r="B10" s="5" t="s">
        <v>13</v>
      </c>
    </row>
    <row r="11" customFormat="false" ht="60" hidden="false" customHeight="true" outlineLevel="0" collapsed="false">
      <c r="A11" s="4" t="s">
        <v>14</v>
      </c>
      <c r="B11" s="5" t="s">
        <v>15</v>
      </c>
    </row>
    <row r="12" customFormat="false" ht="31.5" hidden="false" customHeight="true" outlineLevel="0" collapsed="false">
      <c r="A12" s="4" t="s">
        <v>16</v>
      </c>
      <c r="B12" s="5" t="s">
        <v>17</v>
      </c>
    </row>
    <row r="13" customFormat="false" ht="31.5" hidden="false" customHeight="true" outlineLevel="0" collapsed="false">
      <c r="A13" s="4" t="s">
        <v>18</v>
      </c>
      <c r="B13" s="5" t="s">
        <v>19</v>
      </c>
    </row>
    <row r="14" customFormat="false" ht="31.5" hidden="false" customHeight="true" outlineLevel="0" collapsed="false">
      <c r="A14" s="4" t="s">
        <v>20</v>
      </c>
      <c r="B14" s="5" t="s">
        <v>21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</row>
    <row r="2" customFormat="false" ht="15" hidden="false" customHeight="false" outlineLevel="0" collapsed="false">
      <c r="A2" s="7" t="s">
        <v>28</v>
      </c>
      <c r="B2" s="5" t="s">
        <v>29</v>
      </c>
      <c r="C2" s="7" t="n">
        <v>120</v>
      </c>
      <c r="D2" s="7" t="n">
        <v>15</v>
      </c>
      <c r="E2" s="7" t="n">
        <v>90</v>
      </c>
      <c r="F2" s="7" t="n">
        <f aca="false">SUM(C2:E2)</f>
        <v>225</v>
      </c>
    </row>
    <row r="3" customFormat="false" ht="15" hidden="false" customHeight="false" outlineLevel="0" collapsed="false">
      <c r="A3" s="8" t="s">
        <v>30</v>
      </c>
      <c r="B3" s="9" t="s">
        <v>31</v>
      </c>
      <c r="C3" s="8" t="n">
        <v>120</v>
      </c>
      <c r="D3" s="8" t="n">
        <v>15</v>
      </c>
      <c r="E3" s="8" t="n">
        <v>90</v>
      </c>
      <c r="F3" s="8" t="n">
        <f aca="false">SUM(C3:E3)</f>
        <v>225</v>
      </c>
    </row>
    <row r="4" customFormat="false" ht="15" hidden="false" customHeight="false" outlineLevel="0" collapsed="false">
      <c r="A4" s="7" t="s">
        <v>32</v>
      </c>
      <c r="B4" s="5" t="s">
        <v>33</v>
      </c>
      <c r="C4" s="7" t="n">
        <v>105</v>
      </c>
      <c r="D4" s="7" t="n">
        <v>15</v>
      </c>
      <c r="E4" s="7" t="n">
        <v>90</v>
      </c>
      <c r="F4" s="7" t="n">
        <f aca="false">SUM(C4:E4)</f>
        <v>210</v>
      </c>
    </row>
    <row r="5" customFormat="false" ht="15" hidden="false" customHeight="false" outlineLevel="0" collapsed="false">
      <c r="A5" s="8" t="s">
        <v>34</v>
      </c>
      <c r="B5" s="9" t="s">
        <v>35</v>
      </c>
      <c r="C5" s="8" t="n">
        <v>90</v>
      </c>
      <c r="D5" s="8" t="n">
        <v>15</v>
      </c>
      <c r="E5" s="8" t="n">
        <v>90</v>
      </c>
      <c r="F5" s="8" t="n">
        <f aca="false">SUM(C5:E5)</f>
        <v>195</v>
      </c>
    </row>
    <row r="6" customFormat="false" ht="15" hidden="false" customHeight="false" outlineLevel="0" collapsed="false">
      <c r="A6" s="10" t="s">
        <v>36</v>
      </c>
      <c r="B6" s="11"/>
      <c r="C6" s="10" t="n">
        <f aca="false">SUM(C2:C5)</f>
        <v>435</v>
      </c>
      <c r="D6" s="10" t="n">
        <f aca="false">SUM(D2:D5)</f>
        <v>60</v>
      </c>
      <c r="E6" s="10" t="n">
        <f aca="false">SUM(E2:E5)</f>
        <v>360</v>
      </c>
      <c r="F6" s="10" t="n">
        <f aca="false">SUM(F2:F5)</f>
        <v>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8" min="5" style="0" width="30"/>
    <col collapsed="false" customWidth="true" hidden="false" outlineLevel="0" max="9" min="9" style="0" width="9"/>
  </cols>
  <sheetData>
    <row r="1" customFormat="false" ht="15" hidden="false" customHeight="fals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</row>
    <row r="2" customFormat="false" ht="45.75" hidden="false" customHeight="true" outlineLevel="0" collapsed="false">
      <c r="A2" s="8" t="s">
        <v>46</v>
      </c>
      <c r="B2" s="8" t="n">
        <v>1</v>
      </c>
      <c r="C2" s="9" t="s">
        <v>47</v>
      </c>
      <c r="D2" s="9" t="s">
        <v>48</v>
      </c>
      <c r="E2" s="9" t="s">
        <v>49</v>
      </c>
      <c r="F2" s="9" t="s">
        <v>50</v>
      </c>
      <c r="G2" s="9" t="s">
        <v>51</v>
      </c>
      <c r="H2" s="9" t="s">
        <v>52</v>
      </c>
      <c r="I2" s="12" t="s">
        <v>53</v>
      </c>
    </row>
    <row r="3" customFormat="false" ht="45.75" hidden="false" customHeight="true" outlineLevel="0" collapsed="false">
      <c r="A3" s="7" t="s">
        <v>46</v>
      </c>
      <c r="B3" s="7" t="n">
        <v>2</v>
      </c>
      <c r="C3" s="5" t="s">
        <v>47</v>
      </c>
      <c r="D3" s="5" t="s">
        <v>54</v>
      </c>
      <c r="E3" s="5" t="s">
        <v>55</v>
      </c>
      <c r="F3" s="5" t="s">
        <v>56</v>
      </c>
      <c r="G3" s="5" t="s">
        <v>57</v>
      </c>
      <c r="H3" s="5" t="s">
        <v>58</v>
      </c>
      <c r="I3" s="13" t="s">
        <v>59</v>
      </c>
    </row>
    <row r="4" customFormat="false" ht="45.75" hidden="false" customHeight="true" outlineLevel="0" collapsed="false">
      <c r="A4" s="8" t="s">
        <v>46</v>
      </c>
      <c r="B4" s="8" t="n">
        <v>3</v>
      </c>
      <c r="C4" s="9" t="s">
        <v>47</v>
      </c>
      <c r="D4" s="9" t="s">
        <v>60</v>
      </c>
      <c r="E4" s="9" t="s">
        <v>61</v>
      </c>
      <c r="F4" s="9" t="s">
        <v>62</v>
      </c>
      <c r="G4" s="9" t="s">
        <v>63</v>
      </c>
      <c r="H4" s="9" t="s">
        <v>64</v>
      </c>
      <c r="I4" s="12" t="s">
        <v>65</v>
      </c>
    </row>
    <row r="5" customFormat="false" ht="45.75" hidden="false" customHeight="true" outlineLevel="0" collapsed="false">
      <c r="A5" s="7" t="s">
        <v>46</v>
      </c>
      <c r="B5" s="7" t="n">
        <v>4</v>
      </c>
      <c r="C5" s="5" t="s">
        <v>47</v>
      </c>
      <c r="D5" s="5" t="s">
        <v>66</v>
      </c>
      <c r="E5" s="5" t="s">
        <v>67</v>
      </c>
      <c r="F5" s="5" t="s">
        <v>68</v>
      </c>
      <c r="G5" s="5" t="s">
        <v>69</v>
      </c>
      <c r="H5" s="5" t="s">
        <v>70</v>
      </c>
      <c r="I5" s="13" t="s">
        <v>71</v>
      </c>
    </row>
    <row r="6" customFormat="false" ht="45.75" hidden="false" customHeight="true" outlineLevel="0" collapsed="false">
      <c r="A6" s="8" t="s">
        <v>46</v>
      </c>
      <c r="B6" s="8" t="n">
        <v>5</v>
      </c>
      <c r="C6" s="9" t="s">
        <v>47</v>
      </c>
      <c r="D6" s="9" t="s">
        <v>72</v>
      </c>
      <c r="E6" s="9" t="s">
        <v>73</v>
      </c>
      <c r="F6" s="9" t="s">
        <v>74</v>
      </c>
      <c r="G6" s="9" t="s">
        <v>75</v>
      </c>
      <c r="H6" s="9" t="s">
        <v>76</v>
      </c>
      <c r="I6" s="12" t="s">
        <v>71</v>
      </c>
    </row>
    <row r="7" customFormat="false" ht="45.75" hidden="false" customHeight="true" outlineLevel="0" collapsed="false">
      <c r="A7" s="7" t="s">
        <v>46</v>
      </c>
      <c r="B7" s="7" t="n">
        <v>6</v>
      </c>
      <c r="C7" s="5" t="s">
        <v>47</v>
      </c>
      <c r="D7" s="5" t="s">
        <v>77</v>
      </c>
      <c r="E7" s="5" t="s">
        <v>78</v>
      </c>
      <c r="F7" s="5" t="s">
        <v>79</v>
      </c>
      <c r="G7" s="5" t="s">
        <v>80</v>
      </c>
      <c r="H7" s="5" t="s">
        <v>81</v>
      </c>
      <c r="I7" s="13" t="s">
        <v>71</v>
      </c>
    </row>
    <row r="8" customFormat="false" ht="45.75" hidden="false" customHeight="true" outlineLevel="0" collapsed="false">
      <c r="A8" s="8" t="s">
        <v>46</v>
      </c>
      <c r="B8" s="8" t="n">
        <v>7</v>
      </c>
      <c r="C8" s="9" t="s">
        <v>47</v>
      </c>
      <c r="D8" s="9" t="s">
        <v>82</v>
      </c>
      <c r="E8" s="9" t="s">
        <v>83</v>
      </c>
      <c r="F8" s="9" t="s">
        <v>84</v>
      </c>
      <c r="G8" s="9" t="s">
        <v>85</v>
      </c>
      <c r="H8" s="9" t="s">
        <v>86</v>
      </c>
      <c r="I8" s="12" t="s">
        <v>71</v>
      </c>
    </row>
    <row r="9" customFormat="false" ht="45.75" hidden="false" customHeight="true" outlineLevel="0" collapsed="false">
      <c r="A9" s="7" t="s">
        <v>46</v>
      </c>
      <c r="B9" s="7" t="n">
        <v>8</v>
      </c>
      <c r="C9" s="5" t="s">
        <v>47</v>
      </c>
      <c r="D9" s="5" t="s">
        <v>87</v>
      </c>
      <c r="E9" s="5" t="s">
        <v>88</v>
      </c>
      <c r="F9" s="5" t="s">
        <v>89</v>
      </c>
      <c r="G9" s="5" t="s">
        <v>90</v>
      </c>
      <c r="H9" s="5" t="s">
        <v>91</v>
      </c>
      <c r="I9" s="13" t="s">
        <v>71</v>
      </c>
    </row>
    <row r="10" customFormat="false" ht="45.75" hidden="false" customHeight="true" outlineLevel="0" collapsed="false">
      <c r="A10" s="8" t="s">
        <v>92</v>
      </c>
      <c r="B10" s="8" t="n">
        <v>1</v>
      </c>
      <c r="C10" s="9" t="s">
        <v>93</v>
      </c>
      <c r="D10" s="9" t="s">
        <v>94</v>
      </c>
      <c r="E10" s="9" t="s">
        <v>95</v>
      </c>
      <c r="F10" s="9" t="s">
        <v>96</v>
      </c>
      <c r="G10" s="9" t="s">
        <v>97</v>
      </c>
      <c r="H10" s="9" t="s">
        <v>98</v>
      </c>
      <c r="I10" s="12" t="s">
        <v>71</v>
      </c>
    </row>
    <row r="11" customFormat="false" ht="45.75" hidden="false" customHeight="true" outlineLevel="0" collapsed="false">
      <c r="A11" s="7" t="s">
        <v>92</v>
      </c>
      <c r="B11" s="7" t="n">
        <v>2</v>
      </c>
      <c r="C11" s="5" t="s">
        <v>93</v>
      </c>
      <c r="D11" s="5" t="s">
        <v>99</v>
      </c>
      <c r="E11" s="5" t="s">
        <v>100</v>
      </c>
      <c r="F11" s="5" t="s">
        <v>101</v>
      </c>
      <c r="G11" s="5" t="s">
        <v>102</v>
      </c>
      <c r="H11" s="5" t="s">
        <v>103</v>
      </c>
      <c r="I11" s="13" t="s">
        <v>53</v>
      </c>
    </row>
    <row r="12" customFormat="false" ht="45.75" hidden="false" customHeight="true" outlineLevel="0" collapsed="false">
      <c r="A12" s="8" t="s">
        <v>92</v>
      </c>
      <c r="B12" s="8" t="n">
        <v>3</v>
      </c>
      <c r="C12" s="9" t="s">
        <v>93</v>
      </c>
      <c r="D12" s="9" t="s">
        <v>104</v>
      </c>
      <c r="E12" s="9" t="s">
        <v>105</v>
      </c>
      <c r="F12" s="9" t="s">
        <v>106</v>
      </c>
      <c r="G12" s="9" t="s">
        <v>107</v>
      </c>
      <c r="H12" s="9" t="s">
        <v>108</v>
      </c>
      <c r="I12" s="12" t="s">
        <v>71</v>
      </c>
    </row>
    <row r="13" customFormat="false" ht="45.75" hidden="false" customHeight="true" outlineLevel="0" collapsed="false">
      <c r="A13" s="7" t="s">
        <v>92</v>
      </c>
      <c r="B13" s="7" t="n">
        <v>4</v>
      </c>
      <c r="C13" s="5" t="s">
        <v>93</v>
      </c>
      <c r="D13" s="5" t="s">
        <v>109</v>
      </c>
      <c r="E13" s="5" t="s">
        <v>110</v>
      </c>
      <c r="F13" s="5" t="s">
        <v>111</v>
      </c>
      <c r="G13" s="5" t="s">
        <v>112</v>
      </c>
      <c r="H13" s="5" t="s">
        <v>113</v>
      </c>
      <c r="I13" s="13" t="s">
        <v>71</v>
      </c>
    </row>
    <row r="14" customFormat="false" ht="45.75" hidden="false" customHeight="true" outlineLevel="0" collapsed="false">
      <c r="A14" s="8" t="s">
        <v>92</v>
      </c>
      <c r="B14" s="8" t="n">
        <v>5</v>
      </c>
      <c r="C14" s="9" t="s">
        <v>93</v>
      </c>
      <c r="D14" s="9" t="s">
        <v>114</v>
      </c>
      <c r="E14" s="9" t="s">
        <v>115</v>
      </c>
      <c r="F14" s="9" t="s">
        <v>116</v>
      </c>
      <c r="G14" s="9" t="s">
        <v>117</v>
      </c>
      <c r="H14" s="9" t="s">
        <v>118</v>
      </c>
      <c r="I14" s="12" t="s">
        <v>53</v>
      </c>
    </row>
    <row r="15" customFormat="false" ht="45.75" hidden="false" customHeight="true" outlineLevel="0" collapsed="false">
      <c r="A15" s="7" t="s">
        <v>92</v>
      </c>
      <c r="B15" s="7" t="n">
        <v>6</v>
      </c>
      <c r="C15" s="5" t="s">
        <v>93</v>
      </c>
      <c r="D15" s="5" t="s">
        <v>119</v>
      </c>
      <c r="E15" s="5" t="s">
        <v>120</v>
      </c>
      <c r="F15" s="5" t="s">
        <v>121</v>
      </c>
      <c r="G15" s="5" t="s">
        <v>122</v>
      </c>
      <c r="H15" s="5" t="s">
        <v>123</v>
      </c>
      <c r="I15" s="13" t="s">
        <v>71</v>
      </c>
    </row>
    <row r="16" customFormat="false" ht="45.75" hidden="false" customHeight="true" outlineLevel="0" collapsed="false">
      <c r="A16" s="8" t="s">
        <v>92</v>
      </c>
      <c r="B16" s="8" t="n">
        <v>7</v>
      </c>
      <c r="C16" s="9" t="s">
        <v>93</v>
      </c>
      <c r="D16" s="9" t="s">
        <v>124</v>
      </c>
      <c r="E16" s="9" t="s">
        <v>125</v>
      </c>
      <c r="F16" s="9" t="s">
        <v>126</v>
      </c>
      <c r="G16" s="9" t="s">
        <v>127</v>
      </c>
      <c r="H16" s="9" t="s">
        <v>128</v>
      </c>
      <c r="I16" s="12" t="s">
        <v>65</v>
      </c>
    </row>
    <row r="17" customFormat="false" ht="45.75" hidden="false" customHeight="true" outlineLevel="0" collapsed="false">
      <c r="A17" s="7" t="s">
        <v>92</v>
      </c>
      <c r="B17" s="7" t="n">
        <v>8</v>
      </c>
      <c r="C17" s="5" t="s">
        <v>93</v>
      </c>
      <c r="D17" s="5" t="s">
        <v>129</v>
      </c>
      <c r="E17" s="5" t="s">
        <v>130</v>
      </c>
      <c r="F17" s="5" t="s">
        <v>131</v>
      </c>
      <c r="G17" s="5" t="s">
        <v>132</v>
      </c>
      <c r="H17" s="5" t="s">
        <v>133</v>
      </c>
      <c r="I17" s="13" t="s">
        <v>71</v>
      </c>
    </row>
    <row r="18" customFormat="false" ht="45.75" hidden="false" customHeight="true" outlineLevel="0" collapsed="false">
      <c r="A18" s="8" t="s">
        <v>134</v>
      </c>
      <c r="B18" s="8" t="n">
        <v>1</v>
      </c>
      <c r="C18" s="9" t="s">
        <v>135</v>
      </c>
      <c r="D18" s="9" t="s">
        <v>136</v>
      </c>
      <c r="E18" s="9" t="s">
        <v>137</v>
      </c>
      <c r="F18" s="9" t="s">
        <v>138</v>
      </c>
      <c r="G18" s="9" t="s">
        <v>139</v>
      </c>
      <c r="H18" s="9" t="s">
        <v>140</v>
      </c>
      <c r="I18" s="12" t="s">
        <v>71</v>
      </c>
    </row>
    <row r="19" customFormat="false" ht="45.75" hidden="false" customHeight="true" outlineLevel="0" collapsed="false">
      <c r="A19" s="7" t="s">
        <v>134</v>
      </c>
      <c r="B19" s="7" t="n">
        <v>2</v>
      </c>
      <c r="C19" s="5" t="s">
        <v>135</v>
      </c>
      <c r="D19" s="5" t="s">
        <v>141</v>
      </c>
      <c r="E19" s="5" t="s">
        <v>142</v>
      </c>
      <c r="F19" s="5" t="s">
        <v>143</v>
      </c>
      <c r="G19" s="5" t="s">
        <v>144</v>
      </c>
      <c r="H19" s="5" t="s">
        <v>145</v>
      </c>
      <c r="I19" s="13" t="s">
        <v>71</v>
      </c>
    </row>
    <row r="20" customFormat="false" ht="45.75" hidden="false" customHeight="true" outlineLevel="0" collapsed="false">
      <c r="A20" s="8" t="s">
        <v>134</v>
      </c>
      <c r="B20" s="8" t="n">
        <v>3</v>
      </c>
      <c r="C20" s="9" t="s">
        <v>135</v>
      </c>
      <c r="D20" s="9" t="s">
        <v>146</v>
      </c>
      <c r="E20" s="9" t="s">
        <v>147</v>
      </c>
      <c r="F20" s="9" t="s">
        <v>148</v>
      </c>
      <c r="G20" s="9" t="s">
        <v>149</v>
      </c>
      <c r="H20" s="9" t="s">
        <v>150</v>
      </c>
      <c r="I20" s="12" t="s">
        <v>71</v>
      </c>
    </row>
    <row r="21" customFormat="false" ht="45.75" hidden="false" customHeight="true" outlineLevel="0" collapsed="false">
      <c r="A21" s="7" t="s">
        <v>134</v>
      </c>
      <c r="B21" s="7" t="n">
        <v>4</v>
      </c>
      <c r="C21" s="5" t="s">
        <v>135</v>
      </c>
      <c r="D21" s="5" t="s">
        <v>151</v>
      </c>
      <c r="E21" s="5" t="s">
        <v>152</v>
      </c>
      <c r="F21" s="5" t="s">
        <v>153</v>
      </c>
      <c r="G21" s="5" t="s">
        <v>154</v>
      </c>
      <c r="H21" s="5" t="s">
        <v>155</v>
      </c>
      <c r="I21" s="13" t="s">
        <v>71</v>
      </c>
    </row>
    <row r="22" customFormat="false" ht="45.75" hidden="false" customHeight="true" outlineLevel="0" collapsed="false">
      <c r="A22" s="8" t="s">
        <v>134</v>
      </c>
      <c r="B22" s="8" t="n">
        <v>5</v>
      </c>
      <c r="C22" s="9" t="s">
        <v>135</v>
      </c>
      <c r="D22" s="9" t="s">
        <v>156</v>
      </c>
      <c r="E22" s="9" t="s">
        <v>157</v>
      </c>
      <c r="F22" s="9" t="s">
        <v>158</v>
      </c>
      <c r="G22" s="9" t="s">
        <v>159</v>
      </c>
      <c r="H22" s="9" t="s">
        <v>160</v>
      </c>
      <c r="I22" s="12" t="s">
        <v>71</v>
      </c>
    </row>
    <row r="23" customFormat="false" ht="45.75" hidden="false" customHeight="true" outlineLevel="0" collapsed="false">
      <c r="A23" s="7" t="s">
        <v>134</v>
      </c>
      <c r="B23" s="7" t="n">
        <v>6</v>
      </c>
      <c r="C23" s="5" t="s">
        <v>135</v>
      </c>
      <c r="D23" s="5" t="s">
        <v>161</v>
      </c>
      <c r="E23" s="5" t="s">
        <v>162</v>
      </c>
      <c r="F23" s="5" t="s">
        <v>163</v>
      </c>
      <c r="G23" s="5" t="s">
        <v>164</v>
      </c>
      <c r="H23" s="5" t="s">
        <v>165</v>
      </c>
      <c r="I23" s="13" t="s">
        <v>71</v>
      </c>
    </row>
    <row r="24" customFormat="false" ht="45.75" hidden="false" customHeight="true" outlineLevel="0" collapsed="false">
      <c r="A24" s="8" t="s">
        <v>134</v>
      </c>
      <c r="B24" s="8" t="n">
        <v>7</v>
      </c>
      <c r="C24" s="9" t="s">
        <v>135</v>
      </c>
      <c r="D24" s="9" t="s">
        <v>166</v>
      </c>
      <c r="E24" s="9" t="s">
        <v>167</v>
      </c>
      <c r="F24" s="9" t="s">
        <v>168</v>
      </c>
      <c r="G24" s="9" t="s">
        <v>169</v>
      </c>
      <c r="H24" s="9" t="s">
        <v>170</v>
      </c>
      <c r="I24" s="12" t="s">
        <v>71</v>
      </c>
    </row>
    <row r="25" customFormat="false" ht="45.75" hidden="false" customHeight="true" outlineLevel="0" collapsed="false">
      <c r="A25" s="7" t="s">
        <v>134</v>
      </c>
      <c r="B25" s="7" t="n">
        <v>8</v>
      </c>
      <c r="C25" s="5" t="s">
        <v>135</v>
      </c>
      <c r="D25" s="5" t="s">
        <v>171</v>
      </c>
      <c r="E25" s="5" t="s">
        <v>172</v>
      </c>
      <c r="F25" s="5" t="s">
        <v>173</v>
      </c>
      <c r="G25" s="5" t="s">
        <v>174</v>
      </c>
      <c r="H25" s="5" t="s">
        <v>175</v>
      </c>
      <c r="I25" s="13" t="s">
        <v>71</v>
      </c>
    </row>
    <row r="26" customFormat="false" ht="45.75" hidden="false" customHeight="true" outlineLevel="0" collapsed="false">
      <c r="A26" s="8" t="s">
        <v>176</v>
      </c>
      <c r="B26" s="8" t="n">
        <v>1</v>
      </c>
      <c r="C26" s="9" t="s">
        <v>177</v>
      </c>
      <c r="D26" s="9" t="s">
        <v>178</v>
      </c>
      <c r="E26" s="9" t="s">
        <v>179</v>
      </c>
      <c r="F26" s="9" t="s">
        <v>180</v>
      </c>
      <c r="G26" s="9" t="s">
        <v>181</v>
      </c>
      <c r="H26" s="9" t="s">
        <v>182</v>
      </c>
      <c r="I26" s="12" t="s">
        <v>71</v>
      </c>
    </row>
    <row r="27" customFormat="false" ht="45.75" hidden="false" customHeight="true" outlineLevel="0" collapsed="false">
      <c r="A27" s="7" t="s">
        <v>176</v>
      </c>
      <c r="B27" s="7" t="n">
        <v>2</v>
      </c>
      <c r="C27" s="5" t="s">
        <v>177</v>
      </c>
      <c r="D27" s="5" t="s">
        <v>183</v>
      </c>
      <c r="E27" s="5" t="s">
        <v>184</v>
      </c>
      <c r="F27" s="5" t="s">
        <v>185</v>
      </c>
      <c r="G27" s="5" t="s">
        <v>186</v>
      </c>
      <c r="H27" s="5" t="s">
        <v>187</v>
      </c>
      <c r="I27" s="13" t="s">
        <v>71</v>
      </c>
    </row>
    <row r="28" customFormat="false" ht="45.75" hidden="false" customHeight="true" outlineLevel="0" collapsed="false">
      <c r="A28" s="8" t="s">
        <v>176</v>
      </c>
      <c r="B28" s="8" t="n">
        <v>3</v>
      </c>
      <c r="C28" s="9" t="s">
        <v>177</v>
      </c>
      <c r="D28" s="9" t="s">
        <v>188</v>
      </c>
      <c r="E28" s="9" t="s">
        <v>189</v>
      </c>
      <c r="F28" s="9" t="s">
        <v>190</v>
      </c>
      <c r="G28" s="9" t="s">
        <v>191</v>
      </c>
      <c r="H28" s="9" t="s">
        <v>192</v>
      </c>
      <c r="I28" s="12" t="s">
        <v>71</v>
      </c>
    </row>
    <row r="29" customFormat="false" ht="45.75" hidden="false" customHeight="true" outlineLevel="0" collapsed="false">
      <c r="A29" s="7" t="s">
        <v>176</v>
      </c>
      <c r="B29" s="7" t="n">
        <v>4</v>
      </c>
      <c r="C29" s="5" t="s">
        <v>177</v>
      </c>
      <c r="D29" s="5" t="s">
        <v>193</v>
      </c>
      <c r="E29" s="5" t="s">
        <v>194</v>
      </c>
      <c r="F29" s="5" t="s">
        <v>195</v>
      </c>
      <c r="G29" s="5" t="s">
        <v>196</v>
      </c>
      <c r="H29" s="5" t="s">
        <v>197</v>
      </c>
      <c r="I29" s="13" t="s">
        <v>71</v>
      </c>
    </row>
    <row r="30" customFormat="false" ht="45.75" hidden="false" customHeight="true" outlineLevel="0" collapsed="false">
      <c r="A30" s="8" t="s">
        <v>176</v>
      </c>
      <c r="B30" s="8" t="n">
        <v>5</v>
      </c>
      <c r="C30" s="9" t="s">
        <v>177</v>
      </c>
      <c r="D30" s="9" t="s">
        <v>198</v>
      </c>
      <c r="E30" s="9" t="s">
        <v>199</v>
      </c>
      <c r="F30" s="9" t="s">
        <v>200</v>
      </c>
      <c r="G30" s="9" t="s">
        <v>201</v>
      </c>
      <c r="H30" s="9" t="s">
        <v>202</v>
      </c>
      <c r="I30" s="12" t="s">
        <v>71</v>
      </c>
    </row>
    <row r="31" customFormat="false" ht="45.75" hidden="false" customHeight="true" outlineLevel="0" collapsed="false">
      <c r="A31" s="7" t="s">
        <v>176</v>
      </c>
      <c r="B31" s="7" t="n">
        <v>6</v>
      </c>
      <c r="C31" s="5" t="s">
        <v>177</v>
      </c>
      <c r="D31" s="5" t="s">
        <v>203</v>
      </c>
      <c r="E31" s="5" t="s">
        <v>204</v>
      </c>
      <c r="F31" s="5" t="s">
        <v>205</v>
      </c>
      <c r="G31" s="5" t="s">
        <v>206</v>
      </c>
      <c r="H31" s="5" t="s">
        <v>207</v>
      </c>
      <c r="I31" s="13" t="s">
        <v>71</v>
      </c>
    </row>
    <row r="32" customFormat="false" ht="45.75" hidden="false" customHeight="true" outlineLevel="0" collapsed="false">
      <c r="A32" s="8" t="s">
        <v>176</v>
      </c>
      <c r="B32" s="8" t="n">
        <v>7</v>
      </c>
      <c r="C32" s="9" t="s">
        <v>177</v>
      </c>
      <c r="D32" s="9" t="s">
        <v>208</v>
      </c>
      <c r="E32" s="9" t="s">
        <v>209</v>
      </c>
      <c r="F32" s="9" t="s">
        <v>210</v>
      </c>
      <c r="G32" s="9" t="s">
        <v>211</v>
      </c>
      <c r="H32" s="9" t="s">
        <v>212</v>
      </c>
      <c r="I32" s="12" t="s">
        <v>71</v>
      </c>
    </row>
    <row r="33" customFormat="false" ht="45.75" hidden="false" customHeight="true" outlineLevel="0" collapsed="false">
      <c r="A33" s="7" t="s">
        <v>176</v>
      </c>
      <c r="B33" s="7" t="n">
        <v>8</v>
      </c>
      <c r="C33" s="5" t="s">
        <v>177</v>
      </c>
      <c r="D33" s="5" t="s">
        <v>213</v>
      </c>
      <c r="E33" s="5" t="s">
        <v>214</v>
      </c>
      <c r="F33" s="5" t="s">
        <v>215</v>
      </c>
      <c r="G33" s="5" t="s">
        <v>216</v>
      </c>
      <c r="H33" s="5" t="s">
        <v>217</v>
      </c>
      <c r="I33" s="13" t="s">
        <v>71</v>
      </c>
    </row>
    <row r="36" customFormat="false" ht="15" hidden="false" customHeight="false" outlineLevel="0" collapsed="false">
      <c r="A36" s="14" t="s">
        <v>218</v>
      </c>
    </row>
    <row r="37" customFormat="false" ht="15" hidden="false" customHeight="false" outlineLevel="0" collapsed="false">
      <c r="A37" s="7" t="s">
        <v>46</v>
      </c>
      <c r="B37" s="7" t="n">
        <f aca="false">COUNTIF(A2:A33,A37)</f>
        <v>8</v>
      </c>
    </row>
    <row r="38" customFormat="false" ht="15" hidden="false" customHeight="false" outlineLevel="0" collapsed="false">
      <c r="A38" s="7" t="s">
        <v>92</v>
      </c>
      <c r="B38" s="7" t="n">
        <f aca="false">COUNTIF(A2:A33,A38)</f>
        <v>8</v>
      </c>
    </row>
    <row r="39" customFormat="false" ht="15" hidden="false" customHeight="false" outlineLevel="0" collapsed="false">
      <c r="A39" s="7" t="s">
        <v>134</v>
      </c>
      <c r="B39" s="7" t="n">
        <f aca="false">COUNTIF(A2:A33,A39)</f>
        <v>8</v>
      </c>
    </row>
    <row r="40" customFormat="false" ht="15" hidden="false" customHeight="false" outlineLevel="0" collapsed="false">
      <c r="A40" s="7" t="s">
        <v>176</v>
      </c>
      <c r="B40" s="7" t="n">
        <f aca="false">COUNTIF(A2:A33,A40)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6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6" t="s">
        <v>219</v>
      </c>
      <c r="B1" s="6" t="s">
        <v>220</v>
      </c>
      <c r="C1" s="6" t="s">
        <v>221</v>
      </c>
      <c r="D1" s="6" t="s">
        <v>222</v>
      </c>
      <c r="E1" s="6" t="s">
        <v>223</v>
      </c>
    </row>
    <row r="2" customFormat="false" ht="30" hidden="false" customHeight="true" outlineLevel="0" collapsed="false">
      <c r="A2" s="8" t="s">
        <v>224</v>
      </c>
      <c r="B2" s="9" t="s">
        <v>225</v>
      </c>
      <c r="C2" s="15" t="n">
        <v>1</v>
      </c>
      <c r="D2" s="9" t="s">
        <v>226</v>
      </c>
      <c r="E2" s="16"/>
    </row>
    <row r="3" customFormat="false" ht="30" hidden="false" customHeight="true" outlineLevel="0" collapsed="false">
      <c r="A3" s="7" t="s">
        <v>224</v>
      </c>
      <c r="B3" s="5" t="s">
        <v>225</v>
      </c>
      <c r="C3" s="17" t="n">
        <v>2</v>
      </c>
      <c r="D3" s="5" t="s">
        <v>227</v>
      </c>
      <c r="E3" s="18"/>
    </row>
    <row r="4" customFormat="false" ht="30" hidden="false" customHeight="true" outlineLevel="0" collapsed="false">
      <c r="A4" s="8" t="s">
        <v>224</v>
      </c>
      <c r="B4" s="9" t="s">
        <v>225</v>
      </c>
      <c r="C4" s="15" t="n">
        <v>3</v>
      </c>
      <c r="D4" s="9" t="s">
        <v>228</v>
      </c>
      <c r="E4" s="16"/>
    </row>
    <row r="5" customFormat="false" ht="30" hidden="false" customHeight="true" outlineLevel="0" collapsed="false">
      <c r="A5" s="7" t="s">
        <v>224</v>
      </c>
      <c r="B5" s="5" t="s">
        <v>225</v>
      </c>
      <c r="C5" s="17" t="n">
        <v>4</v>
      </c>
      <c r="D5" s="5" t="s">
        <v>229</v>
      </c>
      <c r="E5" s="18"/>
    </row>
    <row r="6" customFormat="false" ht="30" hidden="false" customHeight="true" outlineLevel="0" collapsed="false">
      <c r="A6" s="8" t="s">
        <v>230</v>
      </c>
      <c r="B6" s="9" t="s">
        <v>231</v>
      </c>
      <c r="C6" s="15" t="n">
        <v>1</v>
      </c>
      <c r="D6" s="9" t="s">
        <v>232</v>
      </c>
      <c r="E6" s="16"/>
    </row>
    <row r="7" customFormat="false" ht="30" hidden="false" customHeight="true" outlineLevel="0" collapsed="false">
      <c r="A7" s="7" t="s">
        <v>230</v>
      </c>
      <c r="B7" s="5" t="s">
        <v>231</v>
      </c>
      <c r="C7" s="17" t="n">
        <v>2</v>
      </c>
      <c r="D7" s="5" t="s">
        <v>233</v>
      </c>
      <c r="E7" s="18"/>
    </row>
    <row r="8" customFormat="false" ht="30" hidden="false" customHeight="true" outlineLevel="0" collapsed="false">
      <c r="A8" s="8" t="s">
        <v>230</v>
      </c>
      <c r="B8" s="9" t="s">
        <v>231</v>
      </c>
      <c r="C8" s="15" t="n">
        <v>3</v>
      </c>
      <c r="D8" s="9" t="s">
        <v>234</v>
      </c>
      <c r="E8" s="16"/>
    </row>
    <row r="9" customFormat="false" ht="30" hidden="false" customHeight="true" outlineLevel="0" collapsed="false">
      <c r="A9" s="7" t="s">
        <v>230</v>
      </c>
      <c r="B9" s="5" t="s">
        <v>231</v>
      </c>
      <c r="C9" s="17" t="n">
        <v>4</v>
      </c>
      <c r="D9" s="5" t="s">
        <v>235</v>
      </c>
      <c r="E9" s="18"/>
    </row>
    <row r="10" customFormat="false" ht="30" hidden="false" customHeight="true" outlineLevel="0" collapsed="false">
      <c r="A10" s="8" t="s">
        <v>236</v>
      </c>
      <c r="B10" s="9" t="s">
        <v>237</v>
      </c>
      <c r="C10" s="15" t="n">
        <v>1</v>
      </c>
      <c r="D10" s="9" t="s">
        <v>238</v>
      </c>
      <c r="E10" s="16"/>
    </row>
    <row r="11" customFormat="false" ht="30" hidden="false" customHeight="true" outlineLevel="0" collapsed="false">
      <c r="A11" s="7" t="s">
        <v>236</v>
      </c>
      <c r="B11" s="5" t="s">
        <v>237</v>
      </c>
      <c r="C11" s="17" t="n">
        <v>2</v>
      </c>
      <c r="D11" s="5" t="s">
        <v>239</v>
      </c>
      <c r="E11" s="18"/>
    </row>
    <row r="12" customFormat="false" ht="30" hidden="false" customHeight="true" outlineLevel="0" collapsed="false">
      <c r="A12" s="8" t="s">
        <v>236</v>
      </c>
      <c r="B12" s="9" t="s">
        <v>237</v>
      </c>
      <c r="C12" s="15" t="n">
        <v>3</v>
      </c>
      <c r="D12" s="9" t="s">
        <v>240</v>
      </c>
      <c r="E12" s="16"/>
    </row>
    <row r="13" customFormat="false" ht="30" hidden="false" customHeight="true" outlineLevel="0" collapsed="false">
      <c r="A13" s="7" t="s">
        <v>236</v>
      </c>
      <c r="B13" s="5" t="s">
        <v>237</v>
      </c>
      <c r="C13" s="17" t="n">
        <v>4</v>
      </c>
      <c r="D13" s="5" t="s">
        <v>241</v>
      </c>
      <c r="E13" s="18"/>
    </row>
    <row r="14" customFormat="false" ht="30" hidden="false" customHeight="true" outlineLevel="0" collapsed="false">
      <c r="A14" s="8" t="s">
        <v>242</v>
      </c>
      <c r="B14" s="9" t="s">
        <v>243</v>
      </c>
      <c r="C14" s="15" t="n">
        <v>1</v>
      </c>
      <c r="D14" s="9" t="s">
        <v>244</v>
      </c>
      <c r="E14" s="16"/>
    </row>
    <row r="15" customFormat="false" ht="30" hidden="false" customHeight="true" outlineLevel="0" collapsed="false">
      <c r="A15" s="7" t="s">
        <v>242</v>
      </c>
      <c r="B15" s="5" t="s">
        <v>243</v>
      </c>
      <c r="C15" s="17" t="n">
        <v>2</v>
      </c>
      <c r="D15" s="5" t="s">
        <v>245</v>
      </c>
      <c r="E15" s="18"/>
    </row>
    <row r="16" customFormat="false" ht="30" hidden="false" customHeight="true" outlineLevel="0" collapsed="false">
      <c r="A16" s="8" t="s">
        <v>242</v>
      </c>
      <c r="B16" s="9" t="s">
        <v>243</v>
      </c>
      <c r="C16" s="15" t="n">
        <v>3</v>
      </c>
      <c r="D16" s="9" t="s">
        <v>246</v>
      </c>
      <c r="E16" s="16"/>
    </row>
    <row r="17" customFormat="false" ht="30" hidden="false" customHeight="true" outlineLevel="0" collapsed="false">
      <c r="A17" s="7" t="s">
        <v>242</v>
      </c>
      <c r="B17" s="5" t="s">
        <v>243</v>
      </c>
      <c r="C17" s="17" t="n">
        <v>4</v>
      </c>
      <c r="D17" s="5" t="s">
        <v>247</v>
      </c>
      <c r="E17" s="18"/>
    </row>
    <row r="20" customFormat="false" ht="15" hidden="false" customHeight="false" outlineLevel="0" collapsed="false">
      <c r="A20" s="19" t="s">
        <v>248</v>
      </c>
      <c r="B20" s="19"/>
      <c r="C20" s="19"/>
      <c r="D20" s="19"/>
      <c r="E20" s="19"/>
    </row>
    <row r="22" customFormat="false" ht="15" hidden="false" customHeight="false" outlineLevel="0" collapsed="false">
      <c r="A22" s="14" t="s">
        <v>249</v>
      </c>
    </row>
    <row r="23" customFormat="false" ht="26.85" hidden="false" customHeight="false" outlineLevel="0" collapsed="false">
      <c r="A23" s="6" t="s">
        <v>219</v>
      </c>
      <c r="B23" s="6" t="s">
        <v>250</v>
      </c>
      <c r="C23" s="6" t="s">
        <v>251</v>
      </c>
      <c r="D23" s="6" t="s">
        <v>252</v>
      </c>
    </row>
    <row r="24" customFormat="false" ht="15" hidden="false" customHeight="false" outlineLevel="0" collapsed="false">
      <c r="A24" s="7" t="s">
        <v>224</v>
      </c>
      <c r="B24" s="7" t="n">
        <f aca="false">COUNTIF($A$2:$A$17,A24)</f>
        <v>4</v>
      </c>
      <c r="C24" s="7" t="n">
        <f aca="false">COUNTIFS($A$2:$A$17,A24,$E$2:$E$17,"Y")</f>
        <v>0</v>
      </c>
      <c r="D24" s="20" t="n">
        <f aca="false">IF(B24=0,0,C24/B24)</f>
        <v>0</v>
      </c>
    </row>
    <row r="25" customFormat="false" ht="15" hidden="false" customHeight="false" outlineLevel="0" collapsed="false">
      <c r="A25" s="7" t="s">
        <v>230</v>
      </c>
      <c r="B25" s="7" t="n">
        <f aca="false">COUNTIF($A$2:$A$17,A25)</f>
        <v>4</v>
      </c>
      <c r="C25" s="7" t="n">
        <f aca="false">COUNTIFS($A$2:$A$17,A25,$E$2:$E$17,"Y")</f>
        <v>0</v>
      </c>
      <c r="D25" s="20" t="n">
        <f aca="false">IF(B25=0,0,C25/B25)</f>
        <v>0</v>
      </c>
    </row>
    <row r="26" customFormat="false" ht="15" hidden="false" customHeight="false" outlineLevel="0" collapsed="false">
      <c r="A26" s="7" t="s">
        <v>236</v>
      </c>
      <c r="B26" s="7" t="n">
        <f aca="false">COUNTIF($A$2:$A$17,A26)</f>
        <v>4</v>
      </c>
      <c r="C26" s="7" t="n">
        <f aca="false">COUNTIFS($A$2:$A$17,A26,$E$2:$E$17,"Y")</f>
        <v>0</v>
      </c>
      <c r="D26" s="20" t="n">
        <f aca="false">IF(B26=0,0,C26/B26)</f>
        <v>0</v>
      </c>
    </row>
    <row r="27" customFormat="false" ht="15" hidden="false" customHeight="false" outlineLevel="0" collapsed="false">
      <c r="A27" s="7" t="s">
        <v>242</v>
      </c>
      <c r="B27" s="7" t="n">
        <f aca="false">COUNTIF($A$2:$A$17,A27)</f>
        <v>4</v>
      </c>
      <c r="C27" s="7" t="n">
        <f aca="false">COUNTIFS($A$2:$A$17,A27,$E$2:$E$17,"Y")</f>
        <v>0</v>
      </c>
      <c r="D27" s="20" t="n">
        <f aca="false">IF(B27=0,0,C27/B27)</f>
        <v>0</v>
      </c>
    </row>
  </sheetData>
  <mergeCells count="1">
    <mergeCell ref="A20:E20"/>
  </mergeCells>
  <dataValidations count="1">
    <dataValidation allowBlank="true" errorStyle="stop" operator="between" showDropDown="false" showErrorMessage="false" showInputMessage="false" sqref="E2:E17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6"/>
  </cols>
  <sheetData>
    <row r="1" customFormat="false" ht="19.7" hidden="false" customHeight="false" outlineLevel="0" collapsed="false">
      <c r="A1" s="21" t="s">
        <v>253</v>
      </c>
      <c r="B1" s="21"/>
    </row>
    <row r="3" customFormat="false" ht="30" hidden="false" customHeight="true" outlineLevel="0" collapsed="false">
      <c r="A3" s="4" t="s">
        <v>254</v>
      </c>
      <c r="B3" s="5" t="s">
        <v>255</v>
      </c>
    </row>
    <row r="4" customFormat="false" ht="30" hidden="false" customHeight="true" outlineLevel="0" collapsed="false">
      <c r="A4" s="4" t="s">
        <v>10</v>
      </c>
      <c r="B4" s="5" t="s">
        <v>256</v>
      </c>
    </row>
    <row r="5" customFormat="false" ht="30" hidden="false" customHeight="true" outlineLevel="0" collapsed="false">
      <c r="A5" s="4" t="s">
        <v>257</v>
      </c>
      <c r="B5" s="5" t="s">
        <v>258</v>
      </c>
    </row>
    <row r="6" customFormat="false" ht="30" hidden="false" customHeight="true" outlineLevel="0" collapsed="false">
      <c r="A6" s="4" t="s">
        <v>259</v>
      </c>
      <c r="B6" s="5" t="s">
        <v>260</v>
      </c>
    </row>
    <row r="7" customFormat="false" ht="45.75" hidden="false" customHeight="true" outlineLevel="0" collapsed="false">
      <c r="A7" s="4" t="s">
        <v>261</v>
      </c>
      <c r="B7" s="5" t="s">
        <v>262</v>
      </c>
    </row>
    <row r="8" customFormat="false" ht="45.75" hidden="false" customHeight="true" outlineLevel="0" collapsed="false">
      <c r="A8" s="4" t="s">
        <v>263</v>
      </c>
      <c r="B8" s="5" t="s">
        <v>264</v>
      </c>
    </row>
    <row r="9" customFormat="false" ht="45.75" hidden="false" customHeight="true" outlineLevel="0" collapsed="false">
      <c r="A9" s="4" t="s">
        <v>265</v>
      </c>
      <c r="B9" s="5" t="s">
        <v>266</v>
      </c>
    </row>
    <row r="11" customFormat="false" ht="15" hidden="false" customHeight="false" outlineLevel="0" collapsed="false">
      <c r="A11" s="22" t="s">
        <v>267</v>
      </c>
    </row>
    <row r="12" customFormat="false" ht="15" hidden="false" customHeight="false" outlineLevel="0" collapsed="false">
      <c r="A12" s="8" t="s">
        <v>268</v>
      </c>
      <c r="B12" s="23" t="n">
        <v>40</v>
      </c>
    </row>
    <row r="13" customFormat="false" ht="15" hidden="false" customHeight="false" outlineLevel="0" collapsed="false">
      <c r="A13" s="8" t="s">
        <v>269</v>
      </c>
      <c r="B13" s="23" t="n">
        <v>4</v>
      </c>
    </row>
    <row r="15" customFormat="false" ht="15" hidden="false" customHeight="false" outlineLevel="0" collapsed="false">
      <c r="A15" s="6" t="s">
        <v>270</v>
      </c>
      <c r="B15" s="6" t="s">
        <v>271</v>
      </c>
    </row>
    <row r="16" customFormat="false" ht="25.35" hidden="false" customHeight="false" outlineLevel="0" collapsed="false">
      <c r="A16" s="5" t="s">
        <v>47</v>
      </c>
      <c r="B16" s="24" t="n">
        <f aca="false">$B$12/$B$13</f>
        <v>10</v>
      </c>
    </row>
    <row r="17" customFormat="false" ht="25.35" hidden="false" customHeight="false" outlineLevel="0" collapsed="false">
      <c r="A17" s="5" t="s">
        <v>93</v>
      </c>
      <c r="B17" s="24" t="n">
        <f aca="false">$B$12/$B$13</f>
        <v>10</v>
      </c>
    </row>
    <row r="18" customFormat="false" ht="15" hidden="false" customHeight="false" outlineLevel="0" collapsed="false">
      <c r="A18" s="5" t="s">
        <v>135</v>
      </c>
      <c r="B18" s="24" t="n">
        <f aca="false">$B$12/$B$13</f>
        <v>10</v>
      </c>
    </row>
    <row r="19" customFormat="false" ht="25.35" hidden="false" customHeight="false" outlineLevel="0" collapsed="false">
      <c r="A19" s="5" t="s">
        <v>177</v>
      </c>
      <c r="B19" s="24" t="n">
        <f aca="false">$B$12/$B$13</f>
        <v>10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0"/>
  </cols>
  <sheetData>
    <row r="1" customFormat="false" ht="26.85" hidden="false" customHeight="false" outlineLevel="0" collapsed="false">
      <c r="A1" s="6" t="s">
        <v>272</v>
      </c>
      <c r="B1" s="6" t="s">
        <v>273</v>
      </c>
      <c r="C1" s="6" t="s">
        <v>274</v>
      </c>
      <c r="D1" s="6" t="s">
        <v>275</v>
      </c>
      <c r="E1" s="6" t="s">
        <v>276</v>
      </c>
      <c r="F1" s="6" t="s">
        <v>277</v>
      </c>
      <c r="G1" s="6" t="s">
        <v>278</v>
      </c>
      <c r="H1" s="6" t="s">
        <v>279</v>
      </c>
      <c r="I1" s="6" t="s">
        <v>280</v>
      </c>
      <c r="J1" s="6" t="s">
        <v>281</v>
      </c>
    </row>
    <row r="2" customFormat="false" ht="15" hidden="false" customHeight="false" outlineLevel="0" collapsed="false">
      <c r="A2" s="25" t="s">
        <v>282</v>
      </c>
      <c r="B2" s="25" t="n">
        <v>7</v>
      </c>
      <c r="C2" s="25" t="n">
        <v>6</v>
      </c>
      <c r="D2" s="25" t="n">
        <v>8</v>
      </c>
      <c r="E2" s="25" t="n">
        <v>7</v>
      </c>
      <c r="F2" s="25" t="n">
        <f aca="false">SUM(B2:E2)</f>
        <v>28</v>
      </c>
      <c r="G2" s="25" t="n">
        <v>36</v>
      </c>
      <c r="H2" s="25" t="n">
        <v>2</v>
      </c>
      <c r="I2" s="26" t="n">
        <f aca="false">(G2+H2)/(40+2)</f>
        <v>0.904761904761905</v>
      </c>
      <c r="J2" s="25" t="str">
        <f aca="false">IF(I2&gt;=0.75,"Pass","Retake")</f>
        <v>Pass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 t="str">
        <f aca="false">IF(COUNT(B3:E3)=0,"",SUM(B3:E3))</f>
        <v/>
      </c>
      <c r="G3" s="7"/>
      <c r="H3" s="7"/>
      <c r="I3" s="20" t="str">
        <f aca="false">IF(OR(G3="",H3=""),"",(G3+H3)/(40+2))</f>
        <v/>
      </c>
      <c r="J3" s="7" t="str">
        <f aca="false">IF(I3="","",IF(I3&gt;=0.75,"Pass","Retake"))</f>
        <v/>
      </c>
    </row>
    <row r="4" customFormat="false" ht="15" hidden="false" customHeight="false" outlineLevel="0" collapsed="false">
      <c r="A4" s="8"/>
      <c r="B4" s="8"/>
      <c r="C4" s="8"/>
      <c r="D4" s="8"/>
      <c r="E4" s="8"/>
      <c r="F4" s="8" t="str">
        <f aca="false">IF(COUNT(B4:E4)=0,"",SUM(B4:E4))</f>
        <v/>
      </c>
      <c r="G4" s="8"/>
      <c r="H4" s="8"/>
      <c r="I4" s="27" t="str">
        <f aca="false">IF(OR(G4="",H4=""),"",(G4+H4)/(40+2))</f>
        <v/>
      </c>
      <c r="J4" s="8" t="str">
        <f aca="false">IF(I4="","",IF(I4&gt;=0.75,"Pass","Retake"))</f>
        <v/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 t="str">
        <f aca="false">IF(COUNT(B5:E5)=0,"",SUM(B5:E5))</f>
        <v/>
      </c>
      <c r="G5" s="7"/>
      <c r="H5" s="7"/>
      <c r="I5" s="20" t="str">
        <f aca="false">IF(OR(G5="",H5=""),"",(G5+H5)/(40+2))</f>
        <v/>
      </c>
      <c r="J5" s="7" t="str">
        <f aca="false">IF(I5="","",IF(I5&gt;=0.75,"Pass","Retake"))</f>
        <v/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 t="str">
        <f aca="false">IF(COUNT(B6:E6)=0,"",SUM(B6:E6))</f>
        <v/>
      </c>
      <c r="G6" s="8"/>
      <c r="H6" s="8"/>
      <c r="I6" s="27" t="str">
        <f aca="false">IF(OR(G6="",H6=""),"",(G6+H6)/(40+2))</f>
        <v/>
      </c>
      <c r="J6" s="8" t="str">
        <f aca="false">IF(I6="","",IF(I6&gt;=0.75,"Pass","Retake"))</f>
        <v/>
      </c>
    </row>
    <row r="7" customFormat="false" ht="15" hidden="false" customHeight="false" outlineLevel="0" collapsed="false">
      <c r="A7" s="7"/>
      <c r="B7" s="7"/>
      <c r="C7" s="7"/>
      <c r="D7" s="7"/>
      <c r="E7" s="7"/>
      <c r="F7" s="7" t="str">
        <f aca="false">IF(COUNT(B7:E7)=0,"",SUM(B7:E7))</f>
        <v/>
      </c>
      <c r="G7" s="7"/>
      <c r="H7" s="7"/>
      <c r="I7" s="20" t="str">
        <f aca="false">IF(OR(G7="",H7=""),"",(G7+H7)/(40+2))</f>
        <v/>
      </c>
      <c r="J7" s="7" t="str">
        <f aca="false">IF(I7="","",IF(I7&gt;=0.75,"Pass","Retake"))</f>
        <v/>
      </c>
    </row>
    <row r="8" customFormat="false" ht="15" hidden="false" customHeight="false" outlineLevel="0" collapsed="false">
      <c r="A8" s="8"/>
      <c r="B8" s="8"/>
      <c r="C8" s="8"/>
      <c r="D8" s="8"/>
      <c r="E8" s="8"/>
      <c r="F8" s="8" t="str">
        <f aca="false">IF(COUNT(B8:E8)=0,"",SUM(B8:E8))</f>
        <v/>
      </c>
      <c r="G8" s="8"/>
      <c r="H8" s="8"/>
      <c r="I8" s="27" t="str">
        <f aca="false">IF(OR(G8="",H8=""),"",(G8+H8)/(40+2))</f>
        <v/>
      </c>
      <c r="J8" s="8" t="str">
        <f aca="false">IF(I8="","",IF(I8&gt;=0.75,"Pass","Retake"))</f>
        <v/>
      </c>
    </row>
    <row r="9" customFormat="false" ht="15" hidden="false" customHeight="false" outlineLevel="0" collapsed="false">
      <c r="A9" s="7"/>
      <c r="B9" s="7"/>
      <c r="C9" s="7"/>
      <c r="D9" s="7"/>
      <c r="E9" s="7"/>
      <c r="F9" s="7" t="str">
        <f aca="false">IF(COUNT(B9:E9)=0,"",SUM(B9:E9))</f>
        <v/>
      </c>
      <c r="G9" s="7"/>
      <c r="H9" s="7"/>
      <c r="I9" s="20" t="str">
        <f aca="false">IF(OR(G9="",H9=""),"",(G9+H9)/(40+2))</f>
        <v/>
      </c>
      <c r="J9" s="7" t="str">
        <f aca="false">IF(I9="","",IF(I9&gt;=0.75,"Pass","Retake"))</f>
        <v/>
      </c>
    </row>
    <row r="10" customFormat="false" ht="15" hidden="false" customHeight="false" outlineLevel="0" collapsed="false">
      <c r="A10" s="8"/>
      <c r="B10" s="8"/>
      <c r="C10" s="8"/>
      <c r="D10" s="8"/>
      <c r="E10" s="8"/>
      <c r="F10" s="8" t="str">
        <f aca="false">IF(COUNT(B10:E10)=0,"",SUM(B10:E10))</f>
        <v/>
      </c>
      <c r="G10" s="8"/>
      <c r="H10" s="8"/>
      <c r="I10" s="27" t="str">
        <f aca="false">IF(OR(G10="",H10=""),"",(G10+H10)/(40+2))</f>
        <v/>
      </c>
      <c r="J10" s="8" t="str">
        <f aca="false">IF(I10="","",IF(I10&gt;=0.75,"Pass","Retake"))</f>
        <v/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7" t="str">
        <f aca="false">IF(COUNT(B11:E11)=0,"",SUM(B11:E11))</f>
        <v/>
      </c>
      <c r="G11" s="7"/>
      <c r="H11" s="7"/>
      <c r="I11" s="20" t="str">
        <f aca="false">IF(OR(G11="",H11=""),"",(G11+H11)/(40+2))</f>
        <v/>
      </c>
      <c r="J11" s="7" t="str">
        <f aca="false">IF(I11="","",IF(I11&gt;=0.75,"Pass","Retake"))</f>
        <v/>
      </c>
    </row>
    <row r="12" customFormat="false" ht="15" hidden="false" customHeight="false" outlineLevel="0" collapsed="false">
      <c r="A12" s="8"/>
      <c r="B12" s="8"/>
      <c r="C12" s="8"/>
      <c r="D12" s="8"/>
      <c r="E12" s="8"/>
      <c r="F12" s="8" t="str">
        <f aca="false">IF(COUNT(B12:E12)=0,"",SUM(B12:E12))</f>
        <v/>
      </c>
      <c r="G12" s="8"/>
      <c r="H12" s="8"/>
      <c r="I12" s="27" t="str">
        <f aca="false">IF(OR(G12="",H12=""),"",(G12+H12)/(40+2))</f>
        <v/>
      </c>
      <c r="J12" s="8" t="str">
        <f aca="false">IF(I12="","",IF(I12&gt;=0.75,"Pass","Retake"))</f>
        <v/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7" t="str">
        <f aca="false">IF(COUNT(B13:E13)=0,"",SUM(B13:E13))</f>
        <v/>
      </c>
      <c r="G13" s="7"/>
      <c r="H13" s="7"/>
      <c r="I13" s="20" t="str">
        <f aca="false">IF(OR(G13="",H13=""),"",(G13+H13)/(40+2))</f>
        <v/>
      </c>
      <c r="J13" s="7" t="str">
        <f aca="false">IF(I13="","",IF(I13&gt;=0.75,"Pass","Retake"))</f>
        <v/>
      </c>
    </row>
    <row r="14" customFormat="false" ht="15" hidden="false" customHeight="false" outlineLevel="0" collapsed="false">
      <c r="A14" s="8"/>
      <c r="B14" s="8"/>
      <c r="C14" s="8"/>
      <c r="D14" s="8"/>
      <c r="E14" s="8"/>
      <c r="F14" s="8" t="str">
        <f aca="false">IF(COUNT(B14:E14)=0,"",SUM(B14:E14))</f>
        <v/>
      </c>
      <c r="G14" s="8"/>
      <c r="H14" s="8"/>
      <c r="I14" s="27" t="str">
        <f aca="false">IF(OR(G14="",H14=""),"",(G14+H14)/(40+2))</f>
        <v/>
      </c>
      <c r="J14" s="8" t="str">
        <f aca="false">IF(I14="","",IF(I14&gt;=0.75,"Pass","Retake"))</f>
        <v/>
      </c>
    </row>
    <row r="17" customFormat="false" ht="15" hidden="false" customHeight="false" outlineLevel="0" collapsed="false">
      <c r="A17" s="19" t="s">
        <v>283</v>
      </c>
      <c r="B17" s="19"/>
      <c r="C17" s="19"/>
      <c r="D17" s="19"/>
      <c r="E17" s="19"/>
      <c r="F17" s="19"/>
      <c r="G17" s="19"/>
      <c r="H17" s="19"/>
      <c r="I17" s="19"/>
      <c r="J17" s="19"/>
    </row>
  </sheetData>
  <mergeCells count="1"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2026-09-01T11:40:40Z</dcterms:created>
  <dc:creator>openpyxl</dc:creator>
  <dc:description/>
  <dc:language>en-US</dc:language>
  <cp:lastModifiedBy/>
  <dcterms:modified xsi:type="dcterms:W3CDTF">2026-09-01T11:40:40Z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